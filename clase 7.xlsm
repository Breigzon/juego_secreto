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8_{1C45E39D-A8C5-46FE-9C11-7C4C6E9DE447}" xr6:coauthVersionLast="47" xr6:coauthVersionMax="47" xr10:uidLastSave="{00000000-0000-0000-0000-000000000000}"/>
  <bookViews>
    <workbookView xWindow="7308" yWindow="2484" windowWidth="13008" windowHeight="9576" xr2:uid="{15BC6E0A-B601-44B4-BA25-77629522D2DE}"/>
  </bookViews>
  <sheets>
    <sheet name="Tabla" sheetId="1" r:id="rId1"/>
    <sheet name="Data" sheetId="2" r:id="rId2"/>
  </sheets>
  <definedNames>
    <definedName name="color">Tabla6[#All]</definedName>
    <definedName name="garantias">Data!$E$1:$G$4</definedName>
    <definedName name="producto3">Data!$A$1:$C$6</definedName>
    <definedName name="productos">Tabla3[[#All],[Productos]]</definedName>
    <definedName name="productos2">Tabla3[#All]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1" l="1"/>
  <c r="D8" i="1"/>
  <c r="A23" i="1"/>
  <c r="A22" i="1"/>
  <c r="A21" i="1"/>
  <c r="D20" i="1" s="1"/>
  <c r="G10" i="1" l="1"/>
  <c r="G12" i="1" s="1"/>
  <c r="G21" i="1" l="1"/>
</calcChain>
</file>

<file path=xl/sharedStrings.xml><?xml version="1.0" encoding="utf-8"?>
<sst xmlns="http://schemas.openxmlformats.org/spreadsheetml/2006/main" count="37" uniqueCount="33">
  <si>
    <t>Costo</t>
  </si>
  <si>
    <t>PRODUCTO</t>
  </si>
  <si>
    <t>Productos</t>
  </si>
  <si>
    <t>Televisor</t>
  </si>
  <si>
    <t>Radio</t>
  </si>
  <si>
    <t>Laptop</t>
  </si>
  <si>
    <t>lavadora</t>
  </si>
  <si>
    <t>secadora</t>
  </si>
  <si>
    <t>Precio</t>
  </si>
  <si>
    <t>PRECIO</t>
  </si>
  <si>
    <t>nª</t>
  </si>
  <si>
    <t>CANTIDAD</t>
  </si>
  <si>
    <t>Garantía</t>
  </si>
  <si>
    <t>1 año</t>
  </si>
  <si>
    <t>2 año</t>
  </si>
  <si>
    <t>sin garantía</t>
  </si>
  <si>
    <t>Nª</t>
  </si>
  <si>
    <t>Garantías</t>
  </si>
  <si>
    <t>ADICIONAL</t>
  </si>
  <si>
    <t>TOTAL</t>
  </si>
  <si>
    <t>COSTO COLOR</t>
  </si>
  <si>
    <t>color</t>
  </si>
  <si>
    <t>costo</t>
  </si>
  <si>
    <t>Blanco</t>
  </si>
  <si>
    <t>Negro</t>
  </si>
  <si>
    <t>Color</t>
  </si>
  <si>
    <t>EXTRAS</t>
  </si>
  <si>
    <t>Técnico</t>
  </si>
  <si>
    <t>Transporte</t>
  </si>
  <si>
    <t>Mantenimiento</t>
  </si>
  <si>
    <t>Costos</t>
  </si>
  <si>
    <t>TOTAL EXTRAS</t>
  </si>
  <si>
    <t>TOTAL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</si>
</sst>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S/&quot;\ * #,##0.00_-;\-&quot;S/&quot;\ * #,##0.00_-;_-&quot;S/&quot;\ * &quot;-&quot;??_-;_-@_-"/>
    <numFmt numFmtId="164" formatCode="_-[$S/-280A]\ * #,##0.00_-;\-[$S/-280A]\ * #,##0.00_-;_-[$S/-280A]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Segoe U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1" xfId="0" applyFill="1" applyBorder="1"/>
    <xf numFmtId="164" fontId="0" fillId="0" borderId="0" xfId="0" applyNumberFormat="1"/>
    <xf numFmtId="44" fontId="0" fillId="4" borderId="1" xfId="1" applyFont="1" applyFill="1" applyBorder="1"/>
    <xf numFmtId="0" fontId="0" fillId="4" borderId="1" xfId="0" applyFill="1" applyBorder="1" applyAlignment="1">
      <alignment horizontal="center" vertical="center"/>
    </xf>
    <xf numFmtId="44" fontId="0" fillId="0" borderId="0" xfId="1" applyFont="1"/>
    <xf numFmtId="0" fontId="0" fillId="6" borderId="0" xfId="0" applyFill="1"/>
    <xf numFmtId="44" fontId="0" fillId="4" borderId="0" xfId="1" applyFont="1" applyFill="1"/>
    <xf numFmtId="9" fontId="0" fillId="0" borderId="0" xfId="0" applyNumberFormat="1"/>
    <xf numFmtId="44" fontId="0" fillId="4" borderId="0" xfId="0" applyNumberFormat="1" applyFill="1"/>
    <xf numFmtId="0" fontId="4" fillId="6" borderId="0" xfId="0" applyFont="1" applyFill="1"/>
  </cellXfs>
  <cellStyles count="2">
    <cellStyle name="Moneda" xfId="1" builtinId="4"/>
    <cellStyle name="Normal" xfId="0" builtinId="0"/>
  </cellStyles>
  <dxfs count="2">
    <dxf>
      <numFmt numFmtId="13" formatCode="0%"/>
    </dxf>
    <dxf>
      <numFmt numFmtId="164" formatCode="_-[$S/-280A]\ * #,##0.00_-;\-[$S/-280A]\ * #,##0.00_-;_-[$S/-28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5" dropStyle="combo" dx="26" fmlaLink="$A$4" fmlaRange="Data!$B$2:$B$6" noThreeD="1" sel="0" val="0"/>
</file>

<file path=xl/ctrlProps/ctrlProp2.xml><?xml version="1.0" encoding="utf-8"?>
<formControlPr xmlns="http://schemas.microsoft.com/office/spreadsheetml/2009/9/main" objectType="Spin" dx="26" fmlaLink="$G$6" max="10" min="1" noThreeD="1" page="10"/>
</file>

<file path=xl/ctrlProps/ctrlProp3.xml><?xml version="1.0" encoding="utf-8"?>
<formControlPr xmlns="http://schemas.microsoft.com/office/spreadsheetml/2009/9/main" objectType="Radio" firstButton="1" fmlaLink="$A$7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A$14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fmlaLink="$A$17" lockText="1" noThreeD="1"/>
</file>

<file path=xl/ctrlProps/ctrlProp10.xml><?xml version="1.0" encoding="utf-8"?>
<formControlPr xmlns="http://schemas.microsoft.com/office/spreadsheetml/2009/9/main" objectType="CheckBox" fmlaLink="$A$18" lockText="1" noThreeD="1"/>
</file>

<file path=xl/ctrlProps/ctrlProp11.xml><?xml version="1.0" encoding="utf-8"?>
<formControlPr xmlns="http://schemas.microsoft.com/office/spreadsheetml/2009/9/main" objectType="CheckBox" fmlaLink="$A$19" lockText="1" noThreeD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15240</xdr:rowOff>
        </xdr:from>
        <xdr:to>
          <xdr:col>4</xdr:col>
          <xdr:colOff>350520</xdr:colOff>
          <xdr:row>6</xdr:row>
          <xdr:rowOff>99060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8</xdr:row>
          <xdr:rowOff>144780</xdr:rowOff>
        </xdr:from>
        <xdr:to>
          <xdr:col>3</xdr:col>
          <xdr:colOff>411480</xdr:colOff>
          <xdr:row>9</xdr:row>
          <xdr:rowOff>175260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cap="flat" cmpd="sng">
              <a:solidFill>
                <a:srgbClr val="339966" mc:Ignorable="a14" a14:legacySpreadsheetColorIndex="57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Garantía 1 año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10</xdr:row>
          <xdr:rowOff>53340</xdr:rowOff>
        </xdr:from>
        <xdr:to>
          <xdr:col>3</xdr:col>
          <xdr:colOff>411480</xdr:colOff>
          <xdr:row>11</xdr:row>
          <xdr:rowOff>83820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E6852D4-C87A-2D77-5138-4241E97B4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Garantía 2 año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121920</xdr:rowOff>
        </xdr:from>
        <xdr:to>
          <xdr:col>3</xdr:col>
          <xdr:colOff>426720</xdr:colOff>
          <xdr:row>12</xdr:row>
          <xdr:rowOff>152400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B1DEBFE-B34E-2540-B66E-92AAB4425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 garantía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13</xdr:row>
          <xdr:rowOff>60960</xdr:rowOff>
        </xdr:from>
        <xdr:to>
          <xdr:col>7</xdr:col>
          <xdr:colOff>449580</xdr:colOff>
          <xdr:row>19</xdr:row>
          <xdr:rowOff>160020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14</xdr:row>
          <xdr:rowOff>76200</xdr:rowOff>
        </xdr:from>
        <xdr:to>
          <xdr:col>6</xdr:col>
          <xdr:colOff>274320</xdr:colOff>
          <xdr:row>15</xdr:row>
          <xdr:rowOff>106680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Blanco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16</xdr:row>
          <xdr:rowOff>167640</xdr:rowOff>
        </xdr:from>
        <xdr:to>
          <xdr:col>6</xdr:col>
          <xdr:colOff>266700</xdr:colOff>
          <xdr:row>18</xdr:row>
          <xdr:rowOff>15240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</xdr:colOff>
          <xdr:row>15</xdr:row>
          <xdr:rowOff>152400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</xdr:colOff>
          <xdr:row>16</xdr:row>
          <xdr:rowOff>160020</xdr:rowOff>
        </xdr:from>
        <xdr:to>
          <xdr:col>3</xdr:col>
          <xdr:colOff>76200</xdr:colOff>
          <xdr:row>18</xdr:row>
          <xdr:rowOff>7620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17</xdr:row>
          <xdr:rowOff>152400</xdr:rowOff>
        </xdr:from>
        <xdr:to>
          <xdr:col>3</xdr:col>
          <xdr:colOff>396240</xdr:colOff>
          <xdr:row>19</xdr:row>
          <xdr:rowOff>15240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Mantenimiento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</xdr:colOff>
          <xdr:row>20</xdr:row>
          <xdr:rowOff>7620</xdr:rowOff>
        </xdr:from>
        <xdr:to>
          <xdr:col>7</xdr:col>
          <xdr:colOff>777240</xdr:colOff>
          <xdr:row>20</xdr:row>
          <xdr:rowOff>220980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lgeria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4F1BC1-50C8-4DCB-A641-FEA07D646DB7}" name="Tabla3" displayName="Tabla3" ref="B1:C6" totalsRowShown="0">
  <autoFilter ref="B1:C6" xr:uid="{924F1BC1-50C8-4DCB-A641-FEA07D646DB7}"/>
  <tableColumns count="2">
    <tableColumn id="1" xr3:uid="{C31798FE-590A-418C-BD31-73B455C816D7}" name="Productos"/>
    <tableColumn id="2" xr3:uid="{AF4688CD-28B5-442C-B9B9-5B2942F71295}" name="Precio" dataDxfId="1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4E8815-1343-4EA1-BE9A-DF1A6068AEC7}" name="Tabla4" displayName="Tabla4" ref="F1:G4" totalsRowShown="0">
  <autoFilter ref="F1:G4" xr:uid="{2D4E8815-1343-4EA1-BE9A-DF1A6068AEC7}"/>
  <tableColumns count="2">
    <tableColumn id="1" xr3:uid="{39DB6B00-C320-4DDD-BD28-248222EDBBAF}" name="Garantía"/>
    <tableColumn id="2" xr3:uid="{BDF00AF2-BFBB-40F1-8FE2-BAE8467C1794}" name="Costo" dataCellStyle="Moned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913ADE-C3EB-459D-9431-3953CD794877}" name="Tabla5" displayName="Tabla5" ref="E1:E4" totalsRowShown="0">
  <autoFilter ref="E1:E4" xr:uid="{BE913ADE-C3EB-459D-9431-3953CD794877}"/>
  <tableColumns count="1">
    <tableColumn id="1" xr3:uid="{BC571B69-6CD1-4DF8-9E19-207133DFEE91}" name="Nª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BBB109-F087-42E6-AB95-3983557B0C94}" name="Tabla6" displayName="Tabla6" ref="I1:K3" totalsRowShown="0">
  <autoFilter ref="I1:K3" xr:uid="{03BBB109-F087-42E6-AB95-3983557B0C94}"/>
  <tableColumns count="3">
    <tableColumn id="1" xr3:uid="{59B4C69C-BB0E-4903-90C9-DBD1D8D0ECAA}" name="nª"/>
    <tableColumn id="2" xr3:uid="{36B1229F-D9F7-4A0F-AA27-E0FF0BCCC0C7}" name="color"/>
    <tableColumn id="3" xr3:uid="{F1531F5B-9ED3-4AB4-9DA5-8566F7F7CC86}" name="costo" dataDxfId="0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EFF28C-3093-4AEF-BF06-64350ADE0B63}" name="Tabla7" displayName="Tabla7" ref="N1:O4" totalsRowShown="0">
  <autoFilter ref="N1:O4" xr:uid="{12EFF28C-3093-4AEF-BF06-64350ADE0B63}"/>
  <tableColumns count="2">
    <tableColumn id="1" xr3:uid="{BDBAE4B5-C864-4542-B0BE-D377D862FB90}" name="EXTRAS"/>
    <tableColumn id="2" xr3:uid="{B67590C3-6D5B-4176-9E4A-DF311EDFF518}" name="Costo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D1C0A-16F8-44A4-B838-8760776C021C}">
  <sheetPr codeName="Hoja1"/>
  <dimension ref="A2:I23"/>
  <sheetViews>
    <sheetView tabSelected="1" workbookViewId="0">
      <selection activeCell="J13" sqref="J13"/>
    </sheetView>
  </sheetViews>
  <sheetFormatPr baseColWidth="10" defaultRowHeight="14.4" x14ac:dyDescent="0.3"/>
  <cols>
    <col min="1" max="1" width="14.33203125" customWidth="1"/>
    <col min="2" max="2" width="2.21875" customWidth="1"/>
    <col min="6" max="6" width="13.21875" customWidth="1"/>
    <col min="9" max="9" width="2.109375" customWidth="1"/>
  </cols>
  <sheetData>
    <row r="2" spans="1:9" ht="22.8" customHeight="1" x14ac:dyDescent="0.3"/>
    <row r="3" spans="1:9" ht="9" customHeight="1" x14ac:dyDescent="0.3">
      <c r="A3" s="4" t="s">
        <v>2</v>
      </c>
      <c r="B3" s="2"/>
      <c r="C3" s="2"/>
      <c r="D3" s="2"/>
      <c r="E3" s="2"/>
      <c r="F3" s="2"/>
      <c r="G3" s="2"/>
      <c r="H3" s="2"/>
      <c r="I3" s="2"/>
    </row>
    <row r="4" spans="1:9" x14ac:dyDescent="0.3">
      <c r="A4" s="5"/>
      <c r="B4" s="2"/>
      <c r="C4" s="1"/>
      <c r="D4" s="1"/>
      <c r="E4" s="1"/>
      <c r="F4" s="1"/>
      <c r="G4" s="1"/>
      <c r="H4" s="1"/>
      <c r="I4" s="2"/>
    </row>
    <row r="5" spans="1:9" x14ac:dyDescent="0.3">
      <c r="B5" s="2"/>
      <c r="C5" s="1"/>
      <c r="D5" s="1"/>
      <c r="E5" s="1"/>
      <c r="F5" s="1"/>
      <c r="G5" s="1"/>
      <c r="H5" s="1"/>
      <c r="I5" s="2"/>
    </row>
    <row r="6" spans="1:9" ht="17.399999999999999" customHeight="1" x14ac:dyDescent="0.3">
      <c r="A6" t="s">
        <v>17</v>
      </c>
      <c r="B6" s="2"/>
      <c r="C6" s="1" t="s">
        <v>1</v>
      </c>
      <c r="D6" s="1"/>
      <c r="E6" s="1"/>
      <c r="F6" s="1" t="s">
        <v>11</v>
      </c>
      <c r="G6" s="8"/>
      <c r="H6" s="1"/>
      <c r="I6" s="2"/>
    </row>
    <row r="7" spans="1:9" x14ac:dyDescent="0.3">
      <c r="A7" s="10"/>
      <c r="B7" s="2"/>
      <c r="C7" s="1"/>
      <c r="D7" s="1"/>
      <c r="E7" s="1"/>
      <c r="F7" s="1"/>
      <c r="G7" s="1"/>
      <c r="H7" s="1"/>
      <c r="I7" s="2"/>
    </row>
    <row r="8" spans="1:9" x14ac:dyDescent="0.3">
      <c r="B8" s="2"/>
      <c r="C8" s="1" t="s">
        <v>9</v>
      </c>
      <c r="D8" s="7" t="str">
        <f>IF(A4="","",PRODUCT(VLOOKUP($A$4,producto3,3,0),G6))</f>
        <v/>
      </c>
      <c r="E8" s="1"/>
      <c r="F8" s="1" t="s">
        <v>18</v>
      </c>
      <c r="G8" s="11" t="str">
        <f>IF(A7="","",VLOOKUP(A7,garantias,3,0))</f>
        <v/>
      </c>
      <c r="H8" s="1"/>
      <c r="I8" s="2"/>
    </row>
    <row r="9" spans="1:9" x14ac:dyDescent="0.3">
      <c r="B9" s="2"/>
      <c r="C9" s="1"/>
      <c r="D9" s="1"/>
      <c r="E9" s="1"/>
      <c r="F9" s="1"/>
      <c r="G9" s="1"/>
      <c r="H9" s="1"/>
      <c r="I9" s="2"/>
    </row>
    <row r="10" spans="1:9" x14ac:dyDescent="0.3">
      <c r="B10" s="2"/>
      <c r="C10" s="1"/>
      <c r="D10" s="1"/>
      <c r="E10" s="1"/>
      <c r="F10" s="1" t="s">
        <v>19</v>
      </c>
      <c r="G10" s="13" t="str">
        <f>IF(G8="","",G8+D8)</f>
        <v/>
      </c>
      <c r="H10" s="1"/>
      <c r="I10" s="2"/>
    </row>
    <row r="11" spans="1:9" x14ac:dyDescent="0.3">
      <c r="B11" s="2"/>
      <c r="C11" s="1"/>
      <c r="D11" s="1"/>
      <c r="E11" s="1"/>
      <c r="F11" s="1"/>
      <c r="G11" s="1"/>
      <c r="H11" s="1"/>
      <c r="I11" s="2"/>
    </row>
    <row r="12" spans="1:9" x14ac:dyDescent="0.3">
      <c r="B12" s="2"/>
      <c r="C12" s="1"/>
      <c r="D12" s="1"/>
      <c r="E12" s="1"/>
      <c r="F12" s="1" t="s">
        <v>20</v>
      </c>
      <c r="G12" s="13" t="e">
        <f>IF(A14="","",VLOOKUP(A14,color,3,0)*G10)</f>
        <v>#VALUE!</v>
      </c>
      <c r="H12" s="1"/>
      <c r="I12" s="2"/>
    </row>
    <row r="13" spans="1:9" x14ac:dyDescent="0.3">
      <c r="A13" s="14" t="s">
        <v>25</v>
      </c>
      <c r="B13" s="2"/>
      <c r="C13" s="1"/>
      <c r="D13" s="1"/>
      <c r="E13" s="1"/>
      <c r="F13" s="1"/>
      <c r="G13" s="1"/>
      <c r="H13" s="1"/>
      <c r="I13" s="2"/>
    </row>
    <row r="14" spans="1:9" x14ac:dyDescent="0.3">
      <c r="A14">
        <v>1</v>
      </c>
      <c r="B14" s="2"/>
      <c r="C14" s="1"/>
      <c r="D14" s="1"/>
      <c r="E14" s="1"/>
      <c r="F14" s="1"/>
      <c r="G14" s="1"/>
      <c r="H14" s="1"/>
      <c r="I14" s="2"/>
    </row>
    <row r="15" spans="1:9" x14ac:dyDescent="0.3">
      <c r="B15" s="2"/>
      <c r="C15" s="1" t="s">
        <v>26</v>
      </c>
      <c r="D15" s="1"/>
      <c r="E15" s="1"/>
      <c r="F15" s="1"/>
      <c r="G15" s="1"/>
      <c r="H15" s="1"/>
      <c r="I15" s="2"/>
    </row>
    <row r="16" spans="1:9" x14ac:dyDescent="0.3">
      <c r="A16" s="10" t="s">
        <v>26</v>
      </c>
      <c r="B16" s="2"/>
      <c r="C16" s="1"/>
      <c r="D16" s="1"/>
      <c r="E16" s="1"/>
      <c r="F16" s="1"/>
      <c r="G16" s="1"/>
      <c r="H16" s="1"/>
      <c r="I16" s="2"/>
    </row>
    <row r="17" spans="1:9" x14ac:dyDescent="0.3">
      <c r="A17" s="3"/>
      <c r="B17" s="2"/>
      <c r="C17" s="1"/>
      <c r="D17" s="1"/>
      <c r="E17" s="1"/>
      <c r="F17" s="1"/>
      <c r="G17" s="1"/>
      <c r="H17" s="1"/>
      <c r="I17" s="2"/>
    </row>
    <row r="18" spans="1:9" x14ac:dyDescent="0.3">
      <c r="A18" s="3"/>
      <c r="B18" s="2"/>
      <c r="C18" s="1"/>
      <c r="D18" s="1"/>
      <c r="E18" s="1"/>
      <c r="F18" s="1"/>
      <c r="G18" s="1"/>
      <c r="H18" s="1"/>
      <c r="I18" s="2"/>
    </row>
    <row r="19" spans="1:9" x14ac:dyDescent="0.3">
      <c r="A19" s="3"/>
      <c r="B19" s="2"/>
      <c r="C19" s="1"/>
      <c r="D19" s="1"/>
      <c r="E19" s="1"/>
      <c r="F19" s="1"/>
      <c r="G19" s="1"/>
      <c r="H19" s="1"/>
      <c r="I19" s="2"/>
    </row>
    <row r="20" spans="1:9" x14ac:dyDescent="0.3">
      <c r="B20" s="2"/>
      <c r="C20" s="1" t="s">
        <v>31</v>
      </c>
      <c r="D20" s="3">
        <f>IF(SUM(A21:A23)="","",SUM(A21:A23))</f>
        <v>0</v>
      </c>
      <c r="E20" s="1"/>
      <c r="F20" s="1"/>
      <c r="G20" s="1"/>
      <c r="H20" s="1"/>
      <c r="I20" s="2"/>
    </row>
    <row r="21" spans="1:9" ht="19.2" customHeight="1" x14ac:dyDescent="0.3">
      <c r="A21">
        <f>IF(A17=FALSE,0,50)</f>
        <v>0</v>
      </c>
      <c r="B21" s="2"/>
      <c r="C21" s="1"/>
      <c r="D21" s="1"/>
      <c r="E21" s="1"/>
      <c r="F21" s="1" t="s">
        <v>32</v>
      </c>
      <c r="G21" s="13" t="e">
        <f>SUM(D20,G10,G12)</f>
        <v>#VALUE!</v>
      </c>
      <c r="H21" s="1"/>
      <c r="I21" s="2"/>
    </row>
    <row r="22" spans="1:9" ht="8.4" customHeight="1" x14ac:dyDescent="0.3">
      <c r="A22">
        <f>IF(A18=FALSE,0,80)</f>
        <v>0</v>
      </c>
      <c r="B22" s="2"/>
      <c r="C22" s="2"/>
      <c r="D22" s="2"/>
      <c r="E22" s="2"/>
      <c r="F22" s="2"/>
      <c r="G22" s="2"/>
      <c r="H22" s="2"/>
      <c r="I22" s="2"/>
    </row>
    <row r="23" spans="1:9" x14ac:dyDescent="0.3">
      <c r="A23">
        <f>IF(A19=FALSE,0,120)</f>
        <v>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3</xdr:col>
                    <xdr:colOff>15240</xdr:colOff>
                    <xdr:row>5</xdr:row>
                    <xdr:rowOff>15240</xdr:rowOff>
                  </from>
                  <to>
                    <xdr:col>4</xdr:col>
                    <xdr:colOff>350520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6</xdr:col>
                    <xdr:colOff>480060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2</xdr:col>
                    <xdr:colOff>175260</xdr:colOff>
                    <xdr:row>8</xdr:row>
                    <xdr:rowOff>144780</xdr:rowOff>
                  </from>
                  <to>
                    <xdr:col>3</xdr:col>
                    <xdr:colOff>411480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2</xdr:col>
                    <xdr:colOff>175260</xdr:colOff>
                    <xdr:row>10</xdr:row>
                    <xdr:rowOff>53340</xdr:rowOff>
                  </from>
                  <to>
                    <xdr:col>3</xdr:col>
                    <xdr:colOff>411480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2</xdr:col>
                    <xdr:colOff>190500</xdr:colOff>
                    <xdr:row>11</xdr:row>
                    <xdr:rowOff>121920</xdr:rowOff>
                  </from>
                  <to>
                    <xdr:col>3</xdr:col>
                    <xdr:colOff>426720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Group Box 15">
              <controlPr defaultSize="0" autoFill="0" autoPict="0">
                <anchor moveWithCells="1">
                  <from>
                    <xdr:col>4</xdr:col>
                    <xdr:colOff>396240</xdr:colOff>
                    <xdr:row>13</xdr:row>
                    <xdr:rowOff>60960</xdr:rowOff>
                  </from>
                  <to>
                    <xdr:col>7</xdr:col>
                    <xdr:colOff>449580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Option Button 16">
              <controlPr defaultSize="0" autoFill="0" autoLine="0" autoPict="0">
                <anchor moveWithCells="1">
                  <from>
                    <xdr:col>5</xdr:col>
                    <xdr:colOff>99060</xdr:colOff>
                    <xdr:row>14</xdr:row>
                    <xdr:rowOff>76200</xdr:rowOff>
                  </from>
                  <to>
                    <xdr:col>6</xdr:col>
                    <xdr:colOff>274320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Option Button 17">
              <controlPr defaultSize="0" autoFill="0" autoLine="0" autoPict="0">
                <anchor moveWithCells="1">
                  <from>
                    <xdr:col>5</xdr:col>
                    <xdr:colOff>91440</xdr:colOff>
                    <xdr:row>16</xdr:row>
                    <xdr:rowOff>167640</xdr:rowOff>
                  </from>
                  <to>
                    <xdr:col>6</xdr:col>
                    <xdr:colOff>266700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eck Box 18">
              <controlPr defaultSize="0" autoFill="0" autoLine="0" autoPict="0">
                <anchor moveWithCells="1">
                  <from>
                    <xdr:col>2</xdr:col>
                    <xdr:colOff>243840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Check Box 21">
              <controlPr defaultSize="0" autoFill="0" autoLine="0" autoPict="0">
                <anchor moveWithCells="1">
                  <from>
                    <xdr:col>2</xdr:col>
                    <xdr:colOff>243840</xdr:colOff>
                    <xdr:row>16</xdr:row>
                    <xdr:rowOff>160020</xdr:rowOff>
                  </from>
                  <to>
                    <xdr:col>3</xdr:col>
                    <xdr:colOff>76200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Check Box 22">
              <controlPr defaultSize="0" autoFill="0" autoLine="0" autoPict="0">
                <anchor moveWithCells="1">
                  <from>
                    <xdr:col>2</xdr:col>
                    <xdr:colOff>220980</xdr:colOff>
                    <xdr:row>17</xdr:row>
                    <xdr:rowOff>152400</xdr:rowOff>
                  </from>
                  <to>
                    <xdr:col>3</xdr:col>
                    <xdr:colOff>396240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limpieza">
                <anchor moveWithCells="1" sizeWithCells="1">
                  <from>
                    <xdr:col>7</xdr:col>
                    <xdr:colOff>129540</xdr:colOff>
                    <xdr:row>20</xdr:row>
                    <xdr:rowOff>7620</xdr:rowOff>
                  </from>
                  <to>
                    <xdr:col>7</xdr:col>
                    <xdr:colOff>777240</xdr:colOff>
                    <xdr:row>20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9ABB-7248-47F4-9599-32F73FDE15C5}">
  <dimension ref="A1:O6"/>
  <sheetViews>
    <sheetView topLeftCell="G1" workbookViewId="0">
      <selection activeCell="O10" sqref="O10"/>
    </sheetView>
  </sheetViews>
  <sheetFormatPr baseColWidth="10" defaultRowHeight="14.4" x14ac:dyDescent="0.3"/>
  <cols>
    <col min="1" max="1" width="2.77734375" bestFit="1" customWidth="1"/>
    <col min="8" max="8" width="1.88671875" customWidth="1"/>
    <col min="12" max="12" width="1.33203125" customWidth="1"/>
    <col min="13" max="13" width="10.5546875" customWidth="1"/>
  </cols>
  <sheetData>
    <row r="1" spans="1:15" x14ac:dyDescent="0.3">
      <c r="A1" t="s">
        <v>10</v>
      </c>
      <c r="B1" t="s">
        <v>2</v>
      </c>
      <c r="C1" t="s">
        <v>8</v>
      </c>
      <c r="E1" t="s">
        <v>16</v>
      </c>
      <c r="F1" t="s">
        <v>12</v>
      </c>
      <c r="G1" t="s">
        <v>0</v>
      </c>
      <c r="I1" t="s">
        <v>10</v>
      </c>
      <c r="J1" t="s">
        <v>21</v>
      </c>
      <c r="K1" t="s">
        <v>22</v>
      </c>
      <c r="N1" t="s">
        <v>26</v>
      </c>
      <c r="O1" t="s">
        <v>30</v>
      </c>
    </row>
    <row r="2" spans="1:15" x14ac:dyDescent="0.3">
      <c r="A2">
        <v>1</v>
      </c>
      <c r="B2" t="s">
        <v>3</v>
      </c>
      <c r="C2" s="6">
        <v>1550</v>
      </c>
      <c r="E2">
        <v>1</v>
      </c>
      <c r="F2" t="s">
        <v>13</v>
      </c>
      <c r="G2" s="9">
        <v>20</v>
      </c>
      <c r="I2">
        <v>1</v>
      </c>
      <c r="J2" t="s">
        <v>23</v>
      </c>
      <c r="K2" s="12">
        <v>0.02</v>
      </c>
      <c r="N2" t="s">
        <v>27</v>
      </c>
      <c r="O2">
        <v>50</v>
      </c>
    </row>
    <row r="3" spans="1:15" x14ac:dyDescent="0.3">
      <c r="A3">
        <v>2</v>
      </c>
      <c r="B3" t="s">
        <v>4</v>
      </c>
      <c r="C3" s="6">
        <v>860</v>
      </c>
      <c r="E3">
        <v>2</v>
      </c>
      <c r="F3" t="s">
        <v>14</v>
      </c>
      <c r="G3" s="9">
        <v>30</v>
      </c>
      <c r="I3">
        <v>2</v>
      </c>
      <c r="J3" t="s">
        <v>24</v>
      </c>
      <c r="K3" s="12">
        <v>0.04</v>
      </c>
      <c r="N3" t="s">
        <v>28</v>
      </c>
      <c r="O3">
        <v>80</v>
      </c>
    </row>
    <row r="4" spans="1:15" x14ac:dyDescent="0.3">
      <c r="A4">
        <v>3</v>
      </c>
      <c r="B4" t="s">
        <v>5</v>
      </c>
      <c r="C4" s="6">
        <v>2530</v>
      </c>
      <c r="E4">
        <v>3</v>
      </c>
      <c r="F4" t="s">
        <v>15</v>
      </c>
      <c r="G4" s="9">
        <v>0</v>
      </c>
      <c r="N4" t="s">
        <v>29</v>
      </c>
      <c r="O4">
        <v>120</v>
      </c>
    </row>
    <row r="5" spans="1:15" x14ac:dyDescent="0.3">
      <c r="A5">
        <v>4</v>
      </c>
      <c r="B5" t="s">
        <v>6</v>
      </c>
      <c r="C5" s="6">
        <v>1400</v>
      </c>
    </row>
    <row r="6" spans="1:15" x14ac:dyDescent="0.3">
      <c r="A6">
        <v>5</v>
      </c>
      <c r="B6" t="s">
        <v>7</v>
      </c>
      <c r="C6" s="6">
        <v>1620</v>
      </c>
    </row>
  </sheetData>
  <phoneticPr fontId="3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Tabla</vt:lpstr>
      <vt:lpstr>Data</vt:lpstr>
      <vt:lpstr>color</vt:lpstr>
      <vt:lpstr>garantias</vt:lpstr>
      <vt:lpstr>producto3</vt:lpstr>
      <vt:lpstr>productos</vt:lpstr>
      <vt:lpstr>productos2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2022-09-09T14:48:27Z</dcterms:created>
  <dcterms:modified xsi:type="dcterms:W3CDTF">2022-09-11T00:23:28Z</dcterms:modified>
</cp:coreProperties>
</file>